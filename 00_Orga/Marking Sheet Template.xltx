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/>
  <workbookPr/>
  <mc:AlternateContent xmlns:mc="http://schemas.openxmlformats.org/markup-compatibility/2006">
    <mc:Choice Requires="x15">
      <x15ac:absPath xmlns:x15ac="http://schemas.microsoft.com/office/spreadsheetml/2010/11/ac" url="D:\Repos\ICS Privat\Students\StudentSupervision\Marking\"/>
    </mc:Choice>
  </mc:AlternateContent>
  <xr:revisionPtr revIDLastSave="0" documentId="13_ncr:1_{E2294893-703B-49B0-8E5F-FDAE38742CB9}" xr6:coauthVersionLast="45" xr6:coauthVersionMax="45" xr10:uidLastSave="{00000000-0000-0000-0000-000000000000}"/>
  <bookViews>
    <workbookView xWindow="57480" yWindow="-120" windowWidth="21840" windowHeight="38040" xr2:uid="{00000000-000D-0000-FFFF-FFFF00000000}"/>
  </bookViews>
  <sheets>
    <sheet name="Marking Sheet" sheetId="1" r:id="rId1"/>
    <sheet name="Additional Data" sheetId="2" r:id="rId2"/>
  </sheets>
  <definedNames>
    <definedName name="_xlnm.Print_Area" localSheetId="0">'Marking Sheet'!$A$1:$T$95</definedName>
    <definedName name="Work_Types">'Additional Data'!$A$2:$A$4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1" l="1"/>
  <c r="O24" i="1" l="1"/>
  <c r="O25" i="1"/>
  <c r="O26" i="1"/>
  <c r="O23" i="1"/>
  <c r="U24" i="1"/>
  <c r="U25" i="1"/>
  <c r="U26" i="1"/>
  <c r="U27" i="1"/>
  <c r="U28" i="1"/>
  <c r="U29" i="1"/>
  <c r="U30" i="1"/>
  <c r="U31" i="1"/>
  <c r="U32" i="1"/>
  <c r="U23" i="1"/>
  <c r="O28" i="1"/>
  <c r="O29" i="1"/>
  <c r="O30" i="1"/>
  <c r="O31" i="1"/>
  <c r="O32" i="1"/>
  <c r="U20" i="1" l="1"/>
  <c r="U21" i="1" l="1"/>
  <c r="U22" i="1"/>
  <c r="U17" i="1" l="1"/>
  <c r="U13" i="1" s="1"/>
  <c r="U12" i="1" s="1"/>
  <c r="O57" i="1" l="1"/>
  <c r="O46" i="1"/>
  <c r="O45" i="1"/>
  <c r="U43" i="1"/>
  <c r="U47" i="1" s="1"/>
  <c r="O48" i="1" s="1"/>
  <c r="O59" i="1" l="1"/>
  <c r="Q50" i="1"/>
  <c r="Q52" i="1" s="1"/>
  <c r="R50" i="1"/>
  <c r="R52" i="1" s="1"/>
  <c r="S50" i="1"/>
  <c r="S52" i="1" s="1"/>
  <c r="T50" i="1"/>
  <c r="T52" i="1" s="1"/>
  <c r="P50" i="1"/>
  <c r="P52" i="1" s="1"/>
  <c r="V51" i="1"/>
  <c r="V52" i="1" l="1"/>
  <c r="V53" i="1" s="1"/>
  <c r="P54" i="1" s="1"/>
  <c r="P60" i="1" l="1"/>
  <c r="P53" i="1"/>
  <c r="P59" i="1" s="1"/>
  <c r="T34" i="1"/>
  <c r="T36" i="1" s="1"/>
  <c r="V35" i="1" l="1"/>
  <c r="Q34" i="1"/>
  <c r="Q36" i="1" s="1"/>
  <c r="R34" i="1"/>
  <c r="R36" i="1" s="1"/>
  <c r="V25" i="1"/>
  <c r="P34" i="1"/>
  <c r="P36" i="1" s="1"/>
  <c r="S34" i="1"/>
  <c r="S36" i="1" s="1"/>
  <c r="V36" i="1" l="1"/>
  <c r="V37" i="1" s="1"/>
  <c r="P38" i="1" l="1"/>
  <c r="P58" i="1" s="1"/>
  <c r="P37" i="1"/>
  <c r="P57" i="1" s="1"/>
  <c r="P62" i="1" s="1"/>
  <c r="P63" i="1" s="1"/>
  <c r="P67" i="1" s="1"/>
</calcChain>
</file>

<file path=xl/sharedStrings.xml><?xml version="1.0" encoding="utf-8"?>
<sst xmlns="http://schemas.openxmlformats.org/spreadsheetml/2006/main" count="230" uniqueCount="104">
  <si>
    <t>Marking Sheet</t>
  </si>
  <si>
    <t>Type:</t>
  </si>
  <si>
    <t>Types:</t>
  </si>
  <si>
    <t>Project work</t>
  </si>
  <si>
    <t>Bachelor Thesis</t>
  </si>
  <si>
    <t>Master Thesis</t>
  </si>
  <si>
    <t>Candidate:</t>
  </si>
  <si>
    <t>Supervisor:</t>
  </si>
  <si>
    <t>Title:</t>
  </si>
  <si>
    <t>Start:</t>
  </si>
  <si>
    <t>End:</t>
  </si>
  <si>
    <t>Presentation:</t>
  </si>
  <si>
    <t>Thesis</t>
  </si>
  <si>
    <t>A</t>
  </si>
  <si>
    <t>++</t>
  </si>
  <si>
    <t>+</t>
  </si>
  <si>
    <r>
      <rPr>
        <sz val="11"/>
        <color theme="1"/>
        <rFont val="Calibri"/>
        <family val="2"/>
      </rPr>
      <t>ᴑ</t>
    </r>
  </si>
  <si>
    <t>-</t>
  </si>
  <si>
    <t>--</t>
  </si>
  <si>
    <t>A1</t>
  </si>
  <si>
    <t>A2</t>
  </si>
  <si>
    <t>B</t>
  </si>
  <si>
    <t>Report</t>
  </si>
  <si>
    <t>Tasks</t>
  </si>
  <si>
    <t>B1</t>
  </si>
  <si>
    <t>B2</t>
  </si>
  <si>
    <t>Independence</t>
  </si>
  <si>
    <t>Result Thesis</t>
  </si>
  <si>
    <t>R1</t>
  </si>
  <si>
    <t>Sums</t>
  </si>
  <si>
    <t>Factor</t>
  </si>
  <si>
    <t>Marks = Sums * Factor</t>
  </si>
  <si>
    <t>Result</t>
  </si>
  <si>
    <t>Total Grade (see mapping table below)</t>
  </si>
  <si>
    <t>Student ID:</t>
  </si>
  <si>
    <t>P</t>
  </si>
  <si>
    <t>Intermediate results</t>
  </si>
  <si>
    <t>1.0</t>
  </si>
  <si>
    <t>1.3</t>
  </si>
  <si>
    <t>1.7</t>
  </si>
  <si>
    <t>2.0</t>
  </si>
  <si>
    <t>2.3</t>
  </si>
  <si>
    <t>2.7</t>
  </si>
  <si>
    <t>3.0</t>
  </si>
  <si>
    <t>3.3</t>
  </si>
  <si>
    <t>3.7</t>
  </si>
  <si>
    <t>4.0</t>
  </si>
  <si>
    <t>Marks</t>
  </si>
  <si>
    <t>5.0</t>
  </si>
  <si>
    <t>Presentation</t>
  </si>
  <si>
    <t>Focus &amp; Simplifications</t>
  </si>
  <si>
    <t>Discussion</t>
  </si>
  <si>
    <t>P1</t>
  </si>
  <si>
    <t>R</t>
  </si>
  <si>
    <t>Result Presentation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</si>
  <si>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</si>
  <si>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</si>
  <si>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</si>
  <si>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</si>
  <si>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</si>
  <si>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</si>
  <si>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</si>
  <si>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</si>
  <si>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</si>
  <si>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</si>
  <si>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Result Overall</t>
  </si>
  <si>
    <t>Total Marks Thesis</t>
  </si>
  <si>
    <t>Grade Thesis</t>
  </si>
  <si>
    <t>Total Marks Presentation</t>
  </si>
  <si>
    <t>Grade Presentation</t>
  </si>
  <si>
    <t>Total Marks</t>
  </si>
  <si>
    <t>100-91%</t>
  </si>
  <si>
    <t>90-86%</t>
  </si>
  <si>
    <t>85-79%</t>
  </si>
  <si>
    <t>78-74%</t>
  </si>
  <si>
    <t>73-69%</t>
  </si>
  <si>
    <t>68-62%</t>
  </si>
  <si>
    <t>61-57%</t>
  </si>
  <si>
    <t>56-52%</t>
  </si>
  <si>
    <t>51-45%</t>
  </si>
  <si>
    <t>44-40%</t>
  </si>
  <si>
    <t>Total in %</t>
  </si>
  <si>
    <t>Content</t>
  </si>
  <si>
    <t>Form</t>
  </si>
  <si>
    <t>Context</t>
  </si>
  <si>
    <t>Creativity</t>
  </si>
  <si>
    <t>Structure</t>
  </si>
  <si>
    <t>Task 1</t>
  </si>
  <si>
    <t>Quality of Presentation</t>
  </si>
  <si>
    <t>Formal Aspects</t>
  </si>
  <si>
    <t>Evaluation</t>
  </si>
  <si>
    <t>Clarity</t>
  </si>
  <si>
    <t>Plan</t>
  </si>
  <si>
    <t>Actual</t>
  </si>
  <si>
    <t>Start-Time</t>
  </si>
  <si>
    <t>End-Time</t>
  </si>
  <si>
    <t>Code</t>
  </si>
  <si>
    <t>B3</t>
  </si>
  <si>
    <t>Achievements</t>
  </si>
  <si>
    <t>Grade Overall based on Marking Sheet</t>
  </si>
  <si>
    <t>Final Grade</t>
  </si>
  <si>
    <t>Signature First examiner</t>
  </si>
  <si>
    <t>Signature Supervisor</t>
  </si>
  <si>
    <t>If Final Grade deviates more than 0.3 from Grade Overall, write a short explanation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</si>
</sst>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 applyAlignment="1">
      <alignment horizontal="center"/>
    </xf>
    <xf numFmtId="0" fontId="5" fillId="0" borderId="6" xfId="0" applyFont="1" applyBorder="1"/>
    <xf numFmtId="0" fontId="5" fillId="0" borderId="7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Border="1" applyAlignment="1">
      <alignment horizontal="center"/>
    </xf>
    <xf numFmtId="0" fontId="0" fillId="0" borderId="0" xfId="0" applyAlignment="1"/>
    <xf numFmtId="0" fontId="0" fillId="3" borderId="7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5" fillId="0" borderId="6" xfId="0" applyFont="1" applyBorder="1" applyAlignment="1"/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  <xf numFmtId="0" fontId="7" fillId="0" borderId="0" xfId="0" applyFont="1" applyFill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2" xfId="0" applyBorder="1" applyAlignment="1">
      <alignment horizontal="center"/>
    </xf>
    <xf numFmtId="0" fontId="0" fillId="0" borderId="2" xfId="0" applyBorder="1" applyAlignment="1"/>
    <xf numFmtId="0" fontId="0" fillId="0" borderId="2" xfId="0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Border="1" applyAlignment="1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/>
    <xf numFmtId="0" fontId="2" fillId="5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4" fontId="0" fillId="0" borderId="0" xfId="0" applyNumberFormat="1" applyBorder="1" applyAlignment="1" applyProtection="1">
      <protection locked="0"/>
    </xf>
    <xf numFmtId="0" fontId="0" fillId="0" borderId="0" xfId="0" applyAlignment="1">
      <alignment horizontal="center"/>
    </xf>
    <xf numFmtId="14" fontId="0" fillId="0" borderId="1" xfId="0" applyNumberFormat="1" applyBorder="1" applyAlignment="1" applyProtection="1">
      <alignment horizontal="center"/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4" borderId="15" xfId="0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left"/>
    </xf>
    <xf numFmtId="0" fontId="5" fillId="0" borderId="5" xfId="0" applyFont="1" applyBorder="1" applyAlignment="1"/>
    <xf numFmtId="0" fontId="5" fillId="0" borderId="6" xfId="0" applyFont="1" applyBorder="1" applyAlignment="1"/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/>
    <xf numFmtId="0" fontId="0" fillId="0" borderId="2" xfId="0" applyBorder="1" applyAlignment="1"/>
    <xf numFmtId="0" fontId="0" fillId="0" borderId="1" xfId="0" applyBorder="1" applyAlignment="1" applyProtection="1">
      <alignment horizontal="left"/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9" fontId="2" fillId="2" borderId="9" xfId="1" applyFont="1" applyFill="1" applyBorder="1" applyAlignment="1">
      <alignment horizontal="center"/>
    </xf>
    <xf numFmtId="9" fontId="2" fillId="2" borderId="10" xfId="1" applyFont="1" applyFill="1" applyBorder="1" applyAlignment="1">
      <alignment horizontal="center"/>
    </xf>
    <xf numFmtId="9" fontId="2" fillId="2" borderId="11" xfId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0" fillId="0" borderId="5" xfId="0" applyBorder="1" applyAlignme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5" xfId="1" applyFon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0" fillId="0" borderId="6" xfId="0" applyBorder="1" applyAlignment="1"/>
    <xf numFmtId="0" fontId="0" fillId="0" borderId="7" xfId="0" applyBorder="1" applyAlignment="1"/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23" xfId="0" applyBorder="1" applyAlignment="1" applyProtection="1">
      <alignment horizontal="left" vertical="top"/>
      <protection locked="0"/>
    </xf>
  </cellXfs>
  <cellStyles count="2">
    <cellStyle name="Prozent" xfId="1" builtinId="5"/>
    <cellStyle name="Standard" xfId="0" builtinId="0"/>
  </cellStyles>
  <dxfs count="14"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83"/>
  <sheetViews>
    <sheetView tabSelected="1" zoomScale="160" zoomScaleNormal="160" workbookViewId="0">
      <selection activeCell="D4" sqref="D4:T4"/>
    </sheetView>
  </sheetViews>
  <sheetFormatPr baseColWidth="10" defaultRowHeight="14.5" x14ac:dyDescent="0.35"/>
  <cols>
    <col min="1" max="20" width="4.6328125" customWidth="1"/>
  </cols>
  <sheetData>
    <row r="1" spans="1:21" ht="6" customHeight="1" x14ac:dyDescent="0.35"/>
    <row r="2" spans="1:21" ht="26" x14ac:dyDescent="0.6">
      <c r="A2" s="81" t="s">
        <v>0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</row>
    <row r="3" spans="1:21" ht="5" customHeigh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1" ht="35" customHeight="1" x14ac:dyDescent="0.35">
      <c r="A4" s="17" t="s">
        <v>8</v>
      </c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</row>
    <row r="5" spans="1:21" ht="5" customHeight="1" x14ac:dyDescent="0.35"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1" x14ac:dyDescent="0.35">
      <c r="A6" s="82" t="s">
        <v>1</v>
      </c>
      <c r="B6" s="82"/>
      <c r="C6" s="82"/>
      <c r="D6" s="83" t="s">
        <v>4</v>
      </c>
      <c r="E6" s="83"/>
      <c r="F6" s="83"/>
      <c r="G6" s="83"/>
      <c r="J6" s="52" t="s">
        <v>7</v>
      </c>
      <c r="K6" s="52"/>
      <c r="L6" s="52"/>
      <c r="M6" s="61"/>
      <c r="N6" s="61"/>
      <c r="O6" s="61"/>
      <c r="P6" s="61"/>
      <c r="Q6" s="61"/>
      <c r="R6" s="61"/>
      <c r="S6" s="61"/>
      <c r="T6" s="61"/>
    </row>
    <row r="7" spans="1:21" ht="5" customHeight="1" x14ac:dyDescent="0.35">
      <c r="A7" s="16"/>
      <c r="B7" s="16"/>
      <c r="C7" s="16"/>
      <c r="D7" s="3"/>
      <c r="E7" s="3"/>
      <c r="F7" s="3"/>
      <c r="G7" s="3"/>
    </row>
    <row r="8" spans="1:21" x14ac:dyDescent="0.35">
      <c r="A8" s="59" t="s">
        <v>6</v>
      </c>
      <c r="B8" s="59"/>
      <c r="C8" s="59"/>
      <c r="D8" s="61"/>
      <c r="E8" s="61"/>
      <c r="F8" s="61"/>
      <c r="G8" s="61"/>
      <c r="H8" s="61"/>
      <c r="J8" s="52" t="s">
        <v>34</v>
      </c>
      <c r="K8" s="52"/>
      <c r="L8" s="52"/>
      <c r="M8" s="61"/>
      <c r="N8" s="61"/>
      <c r="O8" s="61"/>
      <c r="P8" s="61"/>
      <c r="Q8" s="61"/>
      <c r="R8" s="61"/>
      <c r="S8" s="61"/>
      <c r="T8" s="61"/>
    </row>
    <row r="9" spans="1:21" ht="5" customHeight="1" x14ac:dyDescent="0.35">
      <c r="A9" s="3"/>
      <c r="B9" s="3"/>
      <c r="C9" s="3"/>
      <c r="D9" s="16"/>
      <c r="E9" s="16"/>
      <c r="F9" s="16"/>
      <c r="G9" s="16"/>
      <c r="H9" s="16"/>
      <c r="J9" s="3"/>
      <c r="K9" s="3"/>
      <c r="L9" s="3"/>
      <c r="M9" s="3"/>
      <c r="N9" s="3"/>
    </row>
    <row r="10" spans="1:21" x14ac:dyDescent="0.35">
      <c r="A10" s="19" t="s">
        <v>9</v>
      </c>
      <c r="B10" s="19"/>
      <c r="C10" s="40"/>
      <c r="D10" s="42"/>
      <c r="E10" s="42"/>
      <c r="F10" s="42"/>
      <c r="G10" s="42"/>
      <c r="H10" t="s">
        <v>10</v>
      </c>
      <c r="I10" s="62"/>
      <c r="J10" s="62"/>
      <c r="K10" s="62"/>
      <c r="L10" s="62"/>
      <c r="M10" s="3"/>
      <c r="N10" t="s">
        <v>11</v>
      </c>
      <c r="Q10" s="62"/>
      <c r="R10" s="62"/>
      <c r="S10" s="62"/>
      <c r="T10" s="62"/>
    </row>
    <row r="11" spans="1:21" ht="5" customHeight="1" x14ac:dyDescent="0.35"/>
    <row r="12" spans="1:21" ht="21" x14ac:dyDescent="0.5">
      <c r="A12" s="71" t="s">
        <v>12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>
        <f>U20+U13</f>
        <v>70</v>
      </c>
    </row>
    <row r="13" spans="1:21" s="11" customFormat="1" ht="18.5" x14ac:dyDescent="0.45">
      <c r="A13" s="12" t="s">
        <v>13</v>
      </c>
      <c r="B13" s="78" t="s">
        <v>22</v>
      </c>
      <c r="C13" s="78"/>
      <c r="D13" s="78"/>
      <c r="E13" s="78"/>
      <c r="F13" s="43"/>
      <c r="G13" s="43"/>
      <c r="H13" s="43"/>
      <c r="I13" s="43"/>
      <c r="J13" s="43"/>
      <c r="K13" s="43"/>
      <c r="L13" s="43"/>
      <c r="M13" s="43"/>
      <c r="N13" s="43"/>
      <c r="O13" s="14" t="s">
        <v>35</v>
      </c>
      <c r="P13" s="14" t="s">
        <v>14</v>
      </c>
      <c r="Q13" s="14" t="s">
        <v>15</v>
      </c>
      <c r="R13" s="14" t="s">
        <v>16</v>
      </c>
      <c r="S13" s="14" t="s">
        <v>17</v>
      </c>
      <c r="T13" s="15" t="s">
        <v>18</v>
      </c>
      <c r="U13" s="11">
        <f>SUM(U14:U19)</f>
        <v>36</v>
      </c>
    </row>
    <row r="14" spans="1:21" x14ac:dyDescent="0.35">
      <c r="A14" s="28" t="s">
        <v>19</v>
      </c>
      <c r="B14" s="53" t="s">
        <v>82</v>
      </c>
      <c r="C14" s="53"/>
      <c r="D14" s="53"/>
      <c r="E14" s="53"/>
      <c r="F14" s="69" t="s">
        <v>84</v>
      </c>
      <c r="G14" s="79"/>
      <c r="H14" s="79"/>
      <c r="I14" s="79"/>
      <c r="J14" s="79"/>
      <c r="K14" s="79"/>
      <c r="L14" s="79"/>
      <c r="M14" s="79"/>
      <c r="N14" s="80"/>
      <c r="O14" s="20">
        <v>9</v>
      </c>
      <c r="P14" s="30"/>
      <c r="Q14" s="30"/>
      <c r="R14" s="30"/>
      <c r="S14" s="30"/>
      <c r="T14" s="30"/>
      <c r="U14">
        <v>27</v>
      </c>
    </row>
    <row r="15" spans="1:21" x14ac:dyDescent="0.35">
      <c r="A15" s="28"/>
      <c r="B15" s="53"/>
      <c r="C15" s="53"/>
      <c r="D15" s="53"/>
      <c r="E15" s="53"/>
      <c r="F15" s="69" t="s">
        <v>85</v>
      </c>
      <c r="G15" s="79"/>
      <c r="H15" s="79"/>
      <c r="I15" s="79"/>
      <c r="J15" s="79"/>
      <c r="K15" s="79"/>
      <c r="L15" s="79"/>
      <c r="M15" s="79"/>
      <c r="N15" s="80"/>
      <c r="O15" s="20">
        <v>9</v>
      </c>
      <c r="P15" s="30"/>
      <c r="Q15" s="30"/>
      <c r="R15" s="30"/>
      <c r="S15" s="30"/>
      <c r="T15" s="30"/>
    </row>
    <row r="16" spans="1:21" x14ac:dyDescent="0.35">
      <c r="A16" s="28"/>
      <c r="B16" s="53"/>
      <c r="C16" s="53"/>
      <c r="D16" s="53"/>
      <c r="E16" s="53"/>
      <c r="F16" s="69" t="s">
        <v>90</v>
      </c>
      <c r="G16" s="79"/>
      <c r="H16" s="79"/>
      <c r="I16" s="79"/>
      <c r="J16" s="79"/>
      <c r="K16" s="79"/>
      <c r="L16" s="79"/>
      <c r="M16" s="79"/>
      <c r="N16" s="80"/>
      <c r="O16" s="20">
        <v>9</v>
      </c>
      <c r="P16" s="30"/>
      <c r="Q16" s="30"/>
      <c r="R16" s="30"/>
      <c r="S16" s="30"/>
      <c r="T16" s="30"/>
    </row>
    <row r="17" spans="1:22" x14ac:dyDescent="0.35">
      <c r="A17" s="28" t="s">
        <v>20</v>
      </c>
      <c r="B17" s="53" t="s">
        <v>83</v>
      </c>
      <c r="C17" s="53"/>
      <c r="D17" s="53"/>
      <c r="E17" s="53"/>
      <c r="F17" s="69" t="s">
        <v>86</v>
      </c>
      <c r="G17" s="79"/>
      <c r="H17" s="79"/>
      <c r="I17" s="79"/>
      <c r="J17" s="79"/>
      <c r="K17" s="79"/>
      <c r="L17" s="79"/>
      <c r="M17" s="79"/>
      <c r="N17" s="80"/>
      <c r="O17" s="20">
        <v>3</v>
      </c>
      <c r="P17" s="30"/>
      <c r="Q17" s="30"/>
      <c r="R17" s="30"/>
      <c r="S17" s="30"/>
      <c r="T17" s="30"/>
      <c r="U17">
        <f>SUM(O17:O19)</f>
        <v>9</v>
      </c>
    </row>
    <row r="18" spans="1:22" x14ac:dyDescent="0.35">
      <c r="A18" s="28"/>
      <c r="B18" s="53"/>
      <c r="C18" s="53"/>
      <c r="D18" s="53"/>
      <c r="E18" s="53"/>
      <c r="F18" s="69" t="s">
        <v>89</v>
      </c>
      <c r="G18" s="79"/>
      <c r="H18" s="79"/>
      <c r="I18" s="79"/>
      <c r="J18" s="79"/>
      <c r="K18" s="79"/>
      <c r="L18" s="79"/>
      <c r="M18" s="79"/>
      <c r="N18" s="80"/>
      <c r="O18" s="20">
        <v>3</v>
      </c>
      <c r="P18" s="30"/>
      <c r="Q18" s="30"/>
      <c r="R18" s="30"/>
      <c r="S18" s="30"/>
      <c r="T18" s="30"/>
    </row>
    <row r="19" spans="1:22" x14ac:dyDescent="0.35">
      <c r="A19" s="28"/>
      <c r="B19" s="53"/>
      <c r="C19" s="53"/>
      <c r="D19" s="53"/>
      <c r="E19" s="53"/>
      <c r="F19" s="69" t="s">
        <v>91</v>
      </c>
      <c r="G19" s="79"/>
      <c r="H19" s="79"/>
      <c r="I19" s="79"/>
      <c r="J19" s="79"/>
      <c r="K19" s="79"/>
      <c r="L19" s="79"/>
      <c r="M19" s="79"/>
      <c r="N19" s="80"/>
      <c r="O19" s="20">
        <v>3</v>
      </c>
      <c r="P19" s="30"/>
      <c r="Q19" s="30"/>
      <c r="R19" s="30"/>
      <c r="S19" s="30"/>
      <c r="T19" s="30"/>
    </row>
    <row r="20" spans="1:22" s="11" customFormat="1" ht="18.5" x14ac:dyDescent="0.45">
      <c r="A20" s="12" t="s">
        <v>21</v>
      </c>
      <c r="B20" s="78" t="s">
        <v>23</v>
      </c>
      <c r="C20" s="78"/>
      <c r="D20" s="78"/>
      <c r="E20" s="78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4"/>
      <c r="U20" s="11">
        <f>SUM(U21:U32)</f>
        <v>34</v>
      </c>
    </row>
    <row r="21" spans="1:22" x14ac:dyDescent="0.35">
      <c r="A21" s="28" t="s">
        <v>24</v>
      </c>
      <c r="B21" s="49" t="s">
        <v>26</v>
      </c>
      <c r="C21" s="50"/>
      <c r="D21" s="51"/>
      <c r="E21" s="29"/>
      <c r="F21" s="49"/>
      <c r="G21" s="50"/>
      <c r="H21" s="50"/>
      <c r="I21" s="50"/>
      <c r="J21" s="50"/>
      <c r="K21" s="50"/>
      <c r="L21" s="50"/>
      <c r="M21" s="50"/>
      <c r="N21" s="51"/>
      <c r="O21" s="31">
        <v>15</v>
      </c>
      <c r="P21" s="30"/>
      <c r="Q21" s="30"/>
      <c r="R21" s="30"/>
      <c r="S21" s="30"/>
      <c r="T21" s="30"/>
      <c r="U21">
        <f>O21</f>
        <v>15</v>
      </c>
    </row>
    <row r="22" spans="1:22" x14ac:dyDescent="0.35">
      <c r="A22" s="28" t="s">
        <v>25</v>
      </c>
      <c r="B22" s="49" t="s">
        <v>96</v>
      </c>
      <c r="C22" s="50"/>
      <c r="D22" s="51"/>
      <c r="E22" s="29"/>
      <c r="F22" s="49"/>
      <c r="G22" s="50"/>
      <c r="H22" s="50"/>
      <c r="I22" s="50"/>
      <c r="J22" s="50"/>
      <c r="K22" s="50"/>
      <c r="L22" s="50"/>
      <c r="M22" s="50"/>
      <c r="N22" s="51"/>
      <c r="O22" s="31">
        <v>4</v>
      </c>
      <c r="P22" s="30"/>
      <c r="Q22" s="30"/>
      <c r="R22" s="30"/>
      <c r="S22" s="30"/>
      <c r="T22" s="30"/>
      <c r="U22">
        <f>O22</f>
        <v>4</v>
      </c>
    </row>
    <row r="23" spans="1:22" x14ac:dyDescent="0.35">
      <c r="A23" s="28" t="s">
        <v>97</v>
      </c>
      <c r="B23" s="49" t="s">
        <v>98</v>
      </c>
      <c r="C23" s="50"/>
      <c r="D23" s="51"/>
      <c r="E23" s="28" t="s">
        <v>55</v>
      </c>
      <c r="F23" s="56" t="s">
        <v>87</v>
      </c>
      <c r="G23" s="57"/>
      <c r="H23" s="57"/>
      <c r="I23" s="57"/>
      <c r="J23" s="57"/>
      <c r="K23" s="57"/>
      <c r="L23" s="57"/>
      <c r="M23" s="57"/>
      <c r="N23" s="58"/>
      <c r="O23" s="31">
        <f>IF(F23&lt;&gt;"",$V$23/COUNTA($F$23:$N$32),0)</f>
        <v>15</v>
      </c>
      <c r="P23" s="30"/>
      <c r="Q23" s="30"/>
      <c r="R23" s="30"/>
      <c r="S23" s="30"/>
      <c r="T23" s="30"/>
      <c r="U23">
        <f>IF(F23&lt;&gt;"",$V$23/COUNTA($F$23:$N$32),0)</f>
        <v>15</v>
      </c>
      <c r="V23">
        <v>15</v>
      </c>
    </row>
    <row r="24" spans="1:22" x14ac:dyDescent="0.35">
      <c r="A24" s="28"/>
      <c r="B24" s="49"/>
      <c r="C24" s="50"/>
      <c r="D24" s="51"/>
      <c r="E24" s="28" t="s">
        <v>56</v>
      </c>
      <c r="F24" s="56"/>
      <c r="G24" s="57"/>
      <c r="H24" s="57"/>
      <c r="I24" s="57"/>
      <c r="J24" s="57"/>
      <c r="K24" s="57"/>
      <c r="L24" s="57"/>
      <c r="M24" s="57"/>
      <c r="N24" s="58"/>
      <c r="O24" s="31">
        <f t="shared" ref="O24:O32" si="0">IF(F24&lt;&gt;"",$V$23/COUNTA($F$23:$N$32),0)</f>
        <v>0</v>
      </c>
      <c r="P24" s="30"/>
      <c r="Q24" s="30"/>
      <c r="R24" s="30"/>
      <c r="S24" s="30"/>
      <c r="T24" s="30"/>
      <c r="U24">
        <f t="shared" ref="U24:U32" si="1">IF(F24&lt;&gt;"",$V$23/COUNTA($F$23:$N$32),0)</f>
        <v>0</v>
      </c>
      <c r="V24" s="25" t="s">
        <v>92</v>
      </c>
    </row>
    <row r="25" spans="1:22" x14ac:dyDescent="0.35">
      <c r="A25" s="28"/>
      <c r="B25" s="49"/>
      <c r="C25" s="50"/>
      <c r="D25" s="51"/>
      <c r="E25" s="28" t="s">
        <v>57</v>
      </c>
      <c r="F25" s="56"/>
      <c r="G25" s="57"/>
      <c r="H25" s="57"/>
      <c r="I25" s="57"/>
      <c r="J25" s="57"/>
      <c r="K25" s="57"/>
      <c r="L25" s="57"/>
      <c r="M25" s="57"/>
      <c r="N25" s="58"/>
      <c r="O25" s="31">
        <f t="shared" si="0"/>
        <v>0</v>
      </c>
      <c r="P25" s="30"/>
      <c r="Q25" s="30"/>
      <c r="R25" s="30"/>
      <c r="S25" s="30"/>
      <c r="T25" s="30"/>
      <c r="U25">
        <f t="shared" si="1"/>
        <v>0</v>
      </c>
      <c r="V25">
        <f>SUM(O23:O32)</f>
        <v>15</v>
      </c>
    </row>
    <row r="26" spans="1:22" x14ac:dyDescent="0.35">
      <c r="A26" s="28"/>
      <c r="B26" s="49"/>
      <c r="C26" s="50"/>
      <c r="D26" s="51"/>
      <c r="E26" s="28" t="s">
        <v>58</v>
      </c>
      <c r="F26" s="56"/>
      <c r="G26" s="57"/>
      <c r="H26" s="57"/>
      <c r="I26" s="57"/>
      <c r="J26" s="57"/>
      <c r="K26" s="57"/>
      <c r="L26" s="57"/>
      <c r="M26" s="57"/>
      <c r="N26" s="58"/>
      <c r="O26" s="31">
        <f t="shared" si="0"/>
        <v>0</v>
      </c>
      <c r="P26" s="30"/>
      <c r="Q26" s="30"/>
      <c r="R26" s="30"/>
      <c r="S26" s="30"/>
      <c r="T26" s="30"/>
      <c r="U26">
        <f t="shared" si="1"/>
        <v>0</v>
      </c>
      <c r="V26" s="25" t="s">
        <v>93</v>
      </c>
    </row>
    <row r="27" spans="1:22" x14ac:dyDescent="0.35">
      <c r="A27" s="28"/>
      <c r="B27" s="49"/>
      <c r="C27" s="50"/>
      <c r="D27" s="51"/>
      <c r="E27" s="28" t="s">
        <v>59</v>
      </c>
      <c r="F27" s="56"/>
      <c r="G27" s="57"/>
      <c r="H27" s="57"/>
      <c r="I27" s="57"/>
      <c r="J27" s="57"/>
      <c r="K27" s="57"/>
      <c r="L27" s="57"/>
      <c r="M27" s="57"/>
      <c r="N27" s="58"/>
      <c r="O27" s="31">
        <f t="shared" si="0"/>
        <v>0</v>
      </c>
      <c r="P27" s="30"/>
      <c r="Q27" s="30"/>
      <c r="R27" s="30"/>
      <c r="S27" s="30"/>
      <c r="T27" s="30"/>
      <c r="U27">
        <f t="shared" si="1"/>
        <v>0</v>
      </c>
    </row>
    <row r="28" spans="1:22" x14ac:dyDescent="0.35">
      <c r="A28" s="28"/>
      <c r="B28" s="49"/>
      <c r="C28" s="50"/>
      <c r="D28" s="51"/>
      <c r="E28" s="28" t="s">
        <v>60</v>
      </c>
      <c r="F28" s="56"/>
      <c r="G28" s="57"/>
      <c r="H28" s="57"/>
      <c r="I28" s="57"/>
      <c r="J28" s="57"/>
      <c r="K28" s="57"/>
      <c r="L28" s="57"/>
      <c r="M28" s="57"/>
      <c r="N28" s="58"/>
      <c r="O28" s="31">
        <f t="shared" si="0"/>
        <v>0</v>
      </c>
      <c r="P28" s="30"/>
      <c r="Q28" s="30"/>
      <c r="R28" s="30"/>
      <c r="S28" s="30"/>
      <c r="T28" s="30"/>
      <c r="U28">
        <f t="shared" si="1"/>
        <v>0</v>
      </c>
    </row>
    <row r="29" spans="1:22" x14ac:dyDescent="0.35">
      <c r="A29" s="28"/>
      <c r="B29" s="49"/>
      <c r="C29" s="50"/>
      <c r="D29" s="51"/>
      <c r="E29" s="28" t="s">
        <v>61</v>
      </c>
      <c r="F29" s="56"/>
      <c r="G29" s="57"/>
      <c r="H29" s="57"/>
      <c r="I29" s="57"/>
      <c r="J29" s="57"/>
      <c r="K29" s="57"/>
      <c r="L29" s="57"/>
      <c r="M29" s="57"/>
      <c r="N29" s="58"/>
      <c r="O29" s="31">
        <f t="shared" si="0"/>
        <v>0</v>
      </c>
      <c r="P29" s="30"/>
      <c r="Q29" s="30"/>
      <c r="R29" s="30"/>
      <c r="S29" s="30"/>
      <c r="T29" s="30"/>
      <c r="U29">
        <f t="shared" si="1"/>
        <v>0</v>
      </c>
    </row>
    <row r="30" spans="1:22" x14ac:dyDescent="0.35">
      <c r="A30" s="28"/>
      <c r="B30" s="49"/>
      <c r="C30" s="50"/>
      <c r="D30" s="51"/>
      <c r="E30" s="28" t="s">
        <v>62</v>
      </c>
      <c r="F30" s="56"/>
      <c r="G30" s="57"/>
      <c r="H30" s="57"/>
      <c r="I30" s="57"/>
      <c r="J30" s="57"/>
      <c r="K30" s="57"/>
      <c r="L30" s="57"/>
      <c r="M30" s="57"/>
      <c r="N30" s="58"/>
      <c r="O30" s="31">
        <f t="shared" si="0"/>
        <v>0</v>
      </c>
      <c r="P30" s="30"/>
      <c r="Q30" s="30"/>
      <c r="R30" s="30"/>
      <c r="S30" s="30"/>
      <c r="T30" s="30"/>
      <c r="U30">
        <f t="shared" si="1"/>
        <v>0</v>
      </c>
    </row>
    <row r="31" spans="1:22" x14ac:dyDescent="0.35">
      <c r="A31" s="28"/>
      <c r="B31" s="49"/>
      <c r="C31" s="50"/>
      <c r="D31" s="51"/>
      <c r="E31" s="28" t="s">
        <v>63</v>
      </c>
      <c r="F31" s="56"/>
      <c r="G31" s="57"/>
      <c r="H31" s="57"/>
      <c r="I31" s="57"/>
      <c r="J31" s="57"/>
      <c r="K31" s="57"/>
      <c r="L31" s="57"/>
      <c r="M31" s="57"/>
      <c r="N31" s="58"/>
      <c r="O31" s="31">
        <f t="shared" si="0"/>
        <v>0</v>
      </c>
      <c r="P31" s="30"/>
      <c r="Q31" s="30"/>
      <c r="R31" s="30"/>
      <c r="S31" s="30"/>
      <c r="T31" s="30"/>
      <c r="U31">
        <f t="shared" si="1"/>
        <v>0</v>
      </c>
    </row>
    <row r="32" spans="1:22" x14ac:dyDescent="0.35">
      <c r="A32" s="28"/>
      <c r="B32" s="49"/>
      <c r="C32" s="50"/>
      <c r="D32" s="51"/>
      <c r="E32" s="28" t="s">
        <v>64</v>
      </c>
      <c r="F32" s="56"/>
      <c r="G32" s="57"/>
      <c r="H32" s="57"/>
      <c r="I32" s="57"/>
      <c r="J32" s="57"/>
      <c r="K32" s="57"/>
      <c r="L32" s="57"/>
      <c r="M32" s="57"/>
      <c r="N32" s="58"/>
      <c r="O32" s="31">
        <f t="shared" si="0"/>
        <v>0</v>
      </c>
      <c r="P32" s="30"/>
      <c r="Q32" s="30"/>
      <c r="R32" s="30"/>
      <c r="S32" s="30"/>
      <c r="T32" s="30"/>
      <c r="U32">
        <f t="shared" si="1"/>
        <v>0</v>
      </c>
    </row>
    <row r="33" spans="1:22" s="11" customFormat="1" ht="18.5" x14ac:dyDescent="0.45">
      <c r="A33" s="12" t="s">
        <v>53</v>
      </c>
      <c r="B33" s="54" t="s">
        <v>27</v>
      </c>
      <c r="C33" s="55"/>
      <c r="D33" s="55"/>
      <c r="E33" s="55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4"/>
    </row>
    <row r="34" spans="1:22" hidden="1" x14ac:dyDescent="0.35">
      <c r="A34" s="28" t="s">
        <v>28</v>
      </c>
      <c r="B34" s="53" t="s">
        <v>36</v>
      </c>
      <c r="C34" s="53"/>
      <c r="D34" s="53"/>
      <c r="E34" s="53"/>
      <c r="F34" s="53" t="s">
        <v>29</v>
      </c>
      <c r="G34" s="53"/>
      <c r="H34" s="53"/>
      <c r="I34" s="53"/>
      <c r="J34" s="53"/>
      <c r="K34" s="53"/>
      <c r="L34" s="53"/>
      <c r="M34" s="53"/>
      <c r="N34" s="53"/>
      <c r="O34" s="53"/>
      <c r="P34" s="6">
        <f>SUMPRODUCT($O14:$O32,P14:P32)</f>
        <v>0</v>
      </c>
      <c r="Q34" s="6">
        <f>SUMPRODUCT($O14:$O32,Q14:Q32)</f>
        <v>0</v>
      </c>
      <c r="R34" s="6">
        <f>SUMPRODUCT($O14:$O32,R14:R32)</f>
        <v>0</v>
      </c>
      <c r="S34" s="6">
        <f>SUMPRODUCT($O14:$O32,S14:S32)</f>
        <v>0</v>
      </c>
      <c r="T34" s="6">
        <f>SUMPRODUCT($O14:$O32,T14:T32)</f>
        <v>0</v>
      </c>
    </row>
    <row r="35" spans="1:22" hidden="1" x14ac:dyDescent="0.35">
      <c r="A35" s="28"/>
      <c r="B35" s="53"/>
      <c r="C35" s="53"/>
      <c r="D35" s="53"/>
      <c r="E35" s="53"/>
      <c r="F35" s="53" t="s">
        <v>30</v>
      </c>
      <c r="G35" s="53"/>
      <c r="H35" s="53"/>
      <c r="I35" s="53"/>
      <c r="J35" s="53"/>
      <c r="K35" s="53"/>
      <c r="L35" s="53"/>
      <c r="M35" s="53"/>
      <c r="N35" s="53"/>
      <c r="O35" s="53"/>
      <c r="P35" s="6">
        <v>4</v>
      </c>
      <c r="Q35" s="6">
        <v>3</v>
      </c>
      <c r="R35" s="6">
        <v>2</v>
      </c>
      <c r="S35" s="6">
        <v>1</v>
      </c>
      <c r="T35" s="6">
        <v>0</v>
      </c>
      <c r="V35">
        <f>SUM(O14:O32)*P35</f>
        <v>280</v>
      </c>
    </row>
    <row r="36" spans="1:22" hidden="1" x14ac:dyDescent="0.35">
      <c r="A36" s="28"/>
      <c r="B36" s="53"/>
      <c r="C36" s="53"/>
      <c r="D36" s="53"/>
      <c r="E36" s="53"/>
      <c r="F36" s="53" t="s">
        <v>31</v>
      </c>
      <c r="G36" s="53"/>
      <c r="H36" s="53"/>
      <c r="I36" s="53"/>
      <c r="J36" s="53"/>
      <c r="K36" s="53"/>
      <c r="L36" s="53"/>
      <c r="M36" s="53"/>
      <c r="N36" s="53"/>
      <c r="O36" s="53"/>
      <c r="P36" s="6">
        <f>P35*P34</f>
        <v>0</v>
      </c>
      <c r="Q36" s="6">
        <f t="shared" ref="Q36:T36" si="2">Q35*Q34</f>
        <v>0</v>
      </c>
      <c r="R36" s="6">
        <f t="shared" si="2"/>
        <v>0</v>
      </c>
      <c r="S36" s="6">
        <f t="shared" si="2"/>
        <v>0</v>
      </c>
      <c r="T36" s="6">
        <f t="shared" si="2"/>
        <v>0</v>
      </c>
      <c r="V36">
        <f>SUM(P36:T36)</f>
        <v>0</v>
      </c>
    </row>
    <row r="37" spans="1:22" x14ac:dyDescent="0.35">
      <c r="A37" s="28"/>
      <c r="B37" s="53" t="s">
        <v>32</v>
      </c>
      <c r="C37" s="53"/>
      <c r="D37" s="53"/>
      <c r="E37" s="53"/>
      <c r="F37" s="53" t="s">
        <v>81</v>
      </c>
      <c r="G37" s="53"/>
      <c r="H37" s="53"/>
      <c r="I37" s="53"/>
      <c r="J37" s="53"/>
      <c r="K37" s="53"/>
      <c r="L37" s="53"/>
      <c r="M37" s="53"/>
      <c r="N37" s="53"/>
      <c r="O37" s="53"/>
      <c r="P37" s="73">
        <f>V37/100</f>
        <v>0</v>
      </c>
      <c r="Q37" s="74"/>
      <c r="R37" s="74"/>
      <c r="S37" s="74"/>
      <c r="T37" s="75"/>
      <c r="V37">
        <f>ROUND(ROUND(V36/V35,2)*100,0)</f>
        <v>0</v>
      </c>
    </row>
    <row r="38" spans="1:22" x14ac:dyDescent="0.35">
      <c r="A38" s="28"/>
      <c r="B38" s="53"/>
      <c r="C38" s="53"/>
      <c r="D38" s="53"/>
      <c r="E38" s="53"/>
      <c r="F38" s="53" t="s">
        <v>33</v>
      </c>
      <c r="G38" s="53"/>
      <c r="H38" s="53"/>
      <c r="I38" s="53"/>
      <c r="J38" s="53"/>
      <c r="K38" s="53"/>
      <c r="L38" s="53"/>
      <c r="M38" s="53"/>
      <c r="N38" s="53"/>
      <c r="O38" s="53"/>
      <c r="P38" s="49" t="str">
        <f>VLOOKUP(V37,'Additional Data'!C$2:D$102,2,FALSE)</f>
        <v>5.0</v>
      </c>
      <c r="Q38" s="50"/>
      <c r="R38" s="50"/>
      <c r="S38" s="50"/>
      <c r="T38" s="51"/>
    </row>
    <row r="40" spans="1:22" x14ac:dyDescent="0.35">
      <c r="A40" s="77" t="s">
        <v>37</v>
      </c>
      <c r="B40" s="77"/>
      <c r="C40" s="77" t="s">
        <v>38</v>
      </c>
      <c r="D40" s="77"/>
      <c r="E40" s="77" t="s">
        <v>39</v>
      </c>
      <c r="F40" s="77"/>
      <c r="G40" s="77" t="s">
        <v>40</v>
      </c>
      <c r="H40" s="77"/>
      <c r="I40" s="77" t="s">
        <v>41</v>
      </c>
      <c r="J40" s="77"/>
      <c r="K40" s="77" t="s">
        <v>42</v>
      </c>
      <c r="L40" s="77"/>
      <c r="M40" s="77" t="s">
        <v>43</v>
      </c>
      <c r="N40" s="77"/>
      <c r="O40" s="77" t="s">
        <v>44</v>
      </c>
      <c r="P40" s="77"/>
      <c r="Q40" s="77" t="s">
        <v>45</v>
      </c>
      <c r="R40" s="77"/>
      <c r="S40" s="77" t="s">
        <v>46</v>
      </c>
      <c r="T40" s="77"/>
    </row>
    <row r="41" spans="1:22" x14ac:dyDescent="0.35">
      <c r="A41" s="70" t="s">
        <v>71</v>
      </c>
      <c r="B41" s="70"/>
      <c r="C41" s="70" t="s">
        <v>72</v>
      </c>
      <c r="D41" s="70"/>
      <c r="E41" s="70" t="s">
        <v>73</v>
      </c>
      <c r="F41" s="70"/>
      <c r="G41" s="70" t="s">
        <v>74</v>
      </c>
      <c r="H41" s="70"/>
      <c r="I41" s="70" t="s">
        <v>75</v>
      </c>
      <c r="J41" s="70"/>
      <c r="K41" s="70" t="s">
        <v>76</v>
      </c>
      <c r="L41" s="70"/>
      <c r="M41" s="70" t="s">
        <v>77</v>
      </c>
      <c r="N41" s="70"/>
      <c r="O41" s="70" t="s">
        <v>78</v>
      </c>
      <c r="P41" s="70"/>
      <c r="Q41" s="70" t="s">
        <v>79</v>
      </c>
      <c r="R41" s="70"/>
      <c r="S41" s="70" t="s">
        <v>80</v>
      </c>
      <c r="T41" s="70"/>
    </row>
    <row r="42" spans="1:22" x14ac:dyDescent="0.3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</row>
    <row r="43" spans="1:22" ht="21" x14ac:dyDescent="0.5">
      <c r="A43" s="71" t="s">
        <v>49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>
        <f>100-U12</f>
        <v>30</v>
      </c>
    </row>
    <row r="44" spans="1:22" ht="18.5" x14ac:dyDescent="0.45">
      <c r="A44" s="12" t="s">
        <v>13</v>
      </c>
      <c r="B44" s="22" t="s">
        <v>88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9"/>
      <c r="O44" s="14" t="s">
        <v>35</v>
      </c>
      <c r="P44" s="14" t="s">
        <v>14</v>
      </c>
      <c r="Q44" s="14" t="s">
        <v>15</v>
      </c>
      <c r="R44" s="14" t="s">
        <v>16</v>
      </c>
      <c r="S44" s="14" t="s">
        <v>17</v>
      </c>
      <c r="T44" s="15" t="s">
        <v>18</v>
      </c>
      <c r="U44">
        <v>10</v>
      </c>
      <c r="V44" s="26" t="s">
        <v>49</v>
      </c>
    </row>
    <row r="45" spans="1:22" x14ac:dyDescent="0.35">
      <c r="A45" s="13" t="s">
        <v>19</v>
      </c>
      <c r="B45" s="45" t="s">
        <v>50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7"/>
      <c r="O45" s="21">
        <f>U44/2</f>
        <v>5</v>
      </c>
      <c r="P45" s="32"/>
      <c r="Q45" s="33"/>
      <c r="R45" s="33"/>
      <c r="S45" s="33"/>
      <c r="T45" s="33"/>
      <c r="V45" s="27" t="s">
        <v>94</v>
      </c>
    </row>
    <row r="46" spans="1:22" x14ac:dyDescent="0.35">
      <c r="A46" s="13" t="s">
        <v>20</v>
      </c>
      <c r="B46" s="45" t="s">
        <v>89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7"/>
      <c r="O46" s="21">
        <f>U44/2</f>
        <v>5</v>
      </c>
      <c r="P46" s="34"/>
      <c r="Q46" s="30"/>
      <c r="R46" s="30"/>
      <c r="S46" s="30"/>
      <c r="T46" s="30"/>
      <c r="V46" s="27" t="s">
        <v>95</v>
      </c>
    </row>
    <row r="47" spans="1:22" ht="18.5" x14ac:dyDescent="0.45">
      <c r="A47" s="12" t="s">
        <v>21</v>
      </c>
      <c r="B47" s="54" t="s">
        <v>51</v>
      </c>
      <c r="C47" s="55"/>
      <c r="D47" s="55"/>
      <c r="E47" s="55"/>
      <c r="F47" s="76"/>
      <c r="G47" s="76"/>
      <c r="H47" s="76"/>
      <c r="I47" s="76"/>
      <c r="J47" s="76"/>
      <c r="K47" s="76"/>
      <c r="L47" s="76"/>
      <c r="M47" s="76"/>
      <c r="N47" s="18"/>
      <c r="O47" s="8"/>
      <c r="P47" s="4"/>
      <c r="Q47" s="4"/>
      <c r="R47" s="4"/>
      <c r="S47" s="4"/>
      <c r="T47" s="7"/>
      <c r="U47">
        <f>U43-U44</f>
        <v>20</v>
      </c>
    </row>
    <row r="48" spans="1:22" x14ac:dyDescent="0.35">
      <c r="A48" s="13" t="s">
        <v>24</v>
      </c>
      <c r="B48" s="45" t="s">
        <v>51</v>
      </c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7"/>
      <c r="O48" s="21">
        <f>U47</f>
        <v>20</v>
      </c>
      <c r="P48" s="30"/>
      <c r="Q48" s="30"/>
      <c r="R48" s="30"/>
      <c r="S48" s="30"/>
      <c r="T48" s="30"/>
    </row>
    <row r="49" spans="1:22" ht="18.5" x14ac:dyDescent="0.45">
      <c r="A49" s="12" t="s">
        <v>35</v>
      </c>
      <c r="B49" s="55" t="s">
        <v>54</v>
      </c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9"/>
      <c r="Q49" s="9"/>
      <c r="R49" s="9"/>
      <c r="S49" s="9"/>
      <c r="T49" s="10"/>
      <c r="U49" s="11"/>
      <c r="V49" s="11"/>
    </row>
    <row r="50" spans="1:22" hidden="1" x14ac:dyDescent="0.35">
      <c r="A50" s="13" t="s">
        <v>52</v>
      </c>
      <c r="B50" s="53" t="s">
        <v>36</v>
      </c>
      <c r="C50" s="53"/>
      <c r="D50" s="53"/>
      <c r="E50" s="53"/>
      <c r="F50" s="53" t="s">
        <v>29</v>
      </c>
      <c r="G50" s="53"/>
      <c r="H50" s="53"/>
      <c r="I50" s="53"/>
      <c r="J50" s="53"/>
      <c r="K50" s="53"/>
      <c r="L50" s="53"/>
      <c r="M50" s="53"/>
      <c r="N50" s="53"/>
      <c r="O50" s="53"/>
      <c r="P50" s="6">
        <f>SUMPRODUCT($O45:$O48,P45:P48)</f>
        <v>0</v>
      </c>
      <c r="Q50" s="6">
        <f>SUMPRODUCT($O45:$O48,Q45:Q48)</f>
        <v>0</v>
      </c>
      <c r="R50" s="6">
        <f>SUMPRODUCT($O45:$O48,R45:R48)</f>
        <v>0</v>
      </c>
      <c r="S50" s="6">
        <f>SUMPRODUCT($O45:$O48,S45:S48)</f>
        <v>0</v>
      </c>
      <c r="T50" s="6">
        <f>SUMPRODUCT($O45:$O48,T45:T48)</f>
        <v>0</v>
      </c>
    </row>
    <row r="51" spans="1:22" hidden="1" x14ac:dyDescent="0.35">
      <c r="A51" s="13"/>
      <c r="B51" s="53"/>
      <c r="C51" s="53"/>
      <c r="D51" s="53"/>
      <c r="E51" s="53"/>
      <c r="F51" s="53" t="s">
        <v>30</v>
      </c>
      <c r="G51" s="53"/>
      <c r="H51" s="53"/>
      <c r="I51" s="53"/>
      <c r="J51" s="53"/>
      <c r="K51" s="53"/>
      <c r="L51" s="53"/>
      <c r="M51" s="53"/>
      <c r="N51" s="53"/>
      <c r="O51" s="53"/>
      <c r="P51" s="6">
        <v>4</v>
      </c>
      <c r="Q51" s="6">
        <v>3</v>
      </c>
      <c r="R51" s="6">
        <v>2</v>
      </c>
      <c r="S51" s="6">
        <v>1</v>
      </c>
      <c r="T51" s="6">
        <v>0</v>
      </c>
      <c r="V51">
        <f>SUM(O45:O48)*P51</f>
        <v>120</v>
      </c>
    </row>
    <row r="52" spans="1:22" hidden="1" x14ac:dyDescent="0.35">
      <c r="A52" s="13"/>
      <c r="B52" s="53"/>
      <c r="C52" s="53"/>
      <c r="D52" s="53"/>
      <c r="E52" s="53"/>
      <c r="F52" s="53" t="s">
        <v>31</v>
      </c>
      <c r="G52" s="53"/>
      <c r="H52" s="53"/>
      <c r="I52" s="53"/>
      <c r="J52" s="53"/>
      <c r="K52" s="53"/>
      <c r="L52" s="53"/>
      <c r="M52" s="53"/>
      <c r="N52" s="53"/>
      <c r="O52" s="53"/>
      <c r="P52" s="6">
        <f>P51*P50</f>
        <v>0</v>
      </c>
      <c r="Q52" s="6">
        <f t="shared" ref="Q52" si="3">Q51*Q50</f>
        <v>0</v>
      </c>
      <c r="R52" s="6">
        <f t="shared" ref="R52" si="4">R51*R50</f>
        <v>0</v>
      </c>
      <c r="S52" s="6">
        <f t="shared" ref="S52" si="5">S51*S50</f>
        <v>0</v>
      </c>
      <c r="T52" s="6">
        <f t="shared" ref="T52" si="6">T51*T50</f>
        <v>0</v>
      </c>
      <c r="V52">
        <f>SUM(P52:T52)</f>
        <v>0</v>
      </c>
    </row>
    <row r="53" spans="1:22" x14ac:dyDescent="0.35">
      <c r="A53" s="13"/>
      <c r="B53" s="53" t="s">
        <v>32</v>
      </c>
      <c r="C53" s="53"/>
      <c r="D53" s="53"/>
      <c r="E53" s="53"/>
      <c r="F53" s="53" t="s">
        <v>81</v>
      </c>
      <c r="G53" s="53"/>
      <c r="H53" s="53"/>
      <c r="I53" s="53"/>
      <c r="J53" s="53"/>
      <c r="K53" s="53"/>
      <c r="L53" s="53"/>
      <c r="M53" s="53"/>
      <c r="N53" s="53"/>
      <c r="O53" s="53"/>
      <c r="P53" s="73">
        <f>V53/100</f>
        <v>0</v>
      </c>
      <c r="Q53" s="74"/>
      <c r="R53" s="74"/>
      <c r="S53" s="74"/>
      <c r="T53" s="75"/>
      <c r="V53">
        <f>ROUND(ROUND(V52/V51,2)*100,0)</f>
        <v>0</v>
      </c>
    </row>
    <row r="54" spans="1:22" x14ac:dyDescent="0.35">
      <c r="A54" s="13"/>
      <c r="B54" s="53"/>
      <c r="C54" s="53"/>
      <c r="D54" s="53"/>
      <c r="E54" s="53"/>
      <c r="F54" s="53" t="s">
        <v>33</v>
      </c>
      <c r="G54" s="53"/>
      <c r="H54" s="53"/>
      <c r="I54" s="53"/>
      <c r="J54" s="53"/>
      <c r="K54" s="53"/>
      <c r="L54" s="53"/>
      <c r="M54" s="53"/>
      <c r="N54" s="53"/>
      <c r="O54" s="53"/>
      <c r="P54" s="49" t="str">
        <f>VLOOKUP(V53,'Additional Data'!C2:D102,2,FALSE)</f>
        <v>5.0</v>
      </c>
      <c r="Q54" s="50"/>
      <c r="R54" s="50"/>
      <c r="S54" s="50"/>
      <c r="T54" s="51"/>
    </row>
    <row r="55" spans="1:22" x14ac:dyDescent="0.35">
      <c r="A55" s="8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8"/>
      <c r="Q55" s="8"/>
      <c r="R55" s="8"/>
      <c r="S55" s="8"/>
      <c r="T55" s="8"/>
    </row>
    <row r="56" spans="1:22" ht="21" x14ac:dyDescent="0.5">
      <c r="A56" s="71" t="s">
        <v>65</v>
      </c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</row>
    <row r="57" spans="1:22" x14ac:dyDescent="0.35">
      <c r="A57" s="13"/>
      <c r="B57" s="60" t="s">
        <v>27</v>
      </c>
      <c r="C57" s="60"/>
      <c r="D57" s="60"/>
      <c r="E57" s="60"/>
      <c r="F57" s="60" t="s">
        <v>66</v>
      </c>
      <c r="G57" s="60"/>
      <c r="H57" s="60"/>
      <c r="I57" s="60"/>
      <c r="J57" s="60"/>
      <c r="K57" s="60"/>
      <c r="L57" s="60"/>
      <c r="M57" s="60"/>
      <c r="N57" s="60"/>
      <c r="O57" s="24">
        <f>U12</f>
        <v>70</v>
      </c>
      <c r="P57" s="72">
        <f>P37</f>
        <v>0</v>
      </c>
      <c r="Q57" s="70"/>
      <c r="R57" s="70"/>
      <c r="S57" s="70"/>
      <c r="T57" s="70"/>
    </row>
    <row r="58" spans="1:22" x14ac:dyDescent="0.35">
      <c r="A58" s="13"/>
      <c r="B58" s="60"/>
      <c r="C58" s="60"/>
      <c r="D58" s="60"/>
      <c r="E58" s="60"/>
      <c r="F58" s="60" t="s">
        <v>67</v>
      </c>
      <c r="G58" s="60"/>
      <c r="H58" s="60"/>
      <c r="I58" s="60"/>
      <c r="J58" s="60"/>
      <c r="K58" s="60"/>
      <c r="L58" s="60"/>
      <c r="M58" s="60"/>
      <c r="N58" s="60"/>
      <c r="O58" s="24"/>
      <c r="P58" s="70" t="str">
        <f>P38</f>
        <v>5.0</v>
      </c>
      <c r="Q58" s="70"/>
      <c r="R58" s="70"/>
      <c r="S58" s="70"/>
      <c r="T58" s="70"/>
    </row>
    <row r="59" spans="1:22" x14ac:dyDescent="0.35">
      <c r="A59" s="13"/>
      <c r="B59" s="60" t="s">
        <v>54</v>
      </c>
      <c r="C59" s="60"/>
      <c r="D59" s="60"/>
      <c r="E59" s="60"/>
      <c r="F59" s="60" t="s">
        <v>68</v>
      </c>
      <c r="G59" s="60"/>
      <c r="H59" s="60"/>
      <c r="I59" s="60"/>
      <c r="J59" s="60"/>
      <c r="K59" s="60"/>
      <c r="L59" s="60"/>
      <c r="M59" s="60"/>
      <c r="N59" s="60"/>
      <c r="O59" s="24">
        <f>U43</f>
        <v>30</v>
      </c>
      <c r="P59" s="72">
        <f>P53</f>
        <v>0</v>
      </c>
      <c r="Q59" s="70"/>
      <c r="R59" s="70"/>
      <c r="S59" s="70"/>
      <c r="T59" s="70"/>
    </row>
    <row r="60" spans="1:22" x14ac:dyDescent="0.35">
      <c r="A60" s="13"/>
      <c r="B60" s="60"/>
      <c r="C60" s="60"/>
      <c r="D60" s="60"/>
      <c r="E60" s="60"/>
      <c r="F60" s="60" t="s">
        <v>69</v>
      </c>
      <c r="G60" s="60"/>
      <c r="H60" s="60"/>
      <c r="I60" s="60"/>
      <c r="J60" s="60"/>
      <c r="K60" s="60"/>
      <c r="L60" s="60"/>
      <c r="M60" s="60"/>
      <c r="N60" s="60"/>
      <c r="O60" s="6"/>
      <c r="P60" s="70" t="str">
        <f>P54</f>
        <v>5.0</v>
      </c>
      <c r="Q60" s="70"/>
      <c r="R60" s="70"/>
      <c r="S60" s="70"/>
      <c r="T60" s="70"/>
    </row>
    <row r="61" spans="1:22" ht="5" customHeight="1" thickBot="1" x14ac:dyDescent="0.4">
      <c r="A61" s="2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</row>
    <row r="62" spans="1:22" ht="15" thickBot="1" x14ac:dyDescent="0.4">
      <c r="A62" s="13"/>
      <c r="B62" s="60" t="s">
        <v>65</v>
      </c>
      <c r="C62" s="60"/>
      <c r="D62" s="60"/>
      <c r="E62" s="60"/>
      <c r="F62" s="60" t="s">
        <v>70</v>
      </c>
      <c r="G62" s="60"/>
      <c r="H62" s="60"/>
      <c r="I62" s="60"/>
      <c r="J62" s="60"/>
      <c r="K62" s="60"/>
      <c r="L62" s="60"/>
      <c r="M62" s="60"/>
      <c r="N62" s="60"/>
      <c r="O62" s="69"/>
      <c r="P62" s="63">
        <f>O57/100*P57+O59/100*P59</f>
        <v>0</v>
      </c>
      <c r="Q62" s="64"/>
      <c r="R62" s="64"/>
      <c r="S62" s="64"/>
      <c r="T62" s="65"/>
    </row>
    <row r="63" spans="1:22" ht="15" thickBot="1" x14ac:dyDescent="0.4">
      <c r="A63" s="13"/>
      <c r="B63" s="60"/>
      <c r="C63" s="60"/>
      <c r="D63" s="60"/>
      <c r="E63" s="60"/>
      <c r="F63" s="60" t="s">
        <v>99</v>
      </c>
      <c r="G63" s="60"/>
      <c r="H63" s="60"/>
      <c r="I63" s="60"/>
      <c r="J63" s="60"/>
      <c r="K63" s="60"/>
      <c r="L63" s="60"/>
      <c r="M63" s="60"/>
      <c r="N63" s="60"/>
      <c r="O63" s="69"/>
      <c r="P63" s="66" t="str">
        <f>VLOOKUP(ROUND(P62*100,0),'Additional Data'!C2:D102,2,FALSE)</f>
        <v>5.0</v>
      </c>
      <c r="Q63" s="67"/>
      <c r="R63" s="67"/>
      <c r="S63" s="67"/>
      <c r="T63" s="68"/>
    </row>
    <row r="64" spans="1:22" ht="15.5" customHeight="1" x14ac:dyDescent="0.35">
      <c r="A64" s="8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9"/>
      <c r="Q64" s="39"/>
      <c r="R64" s="39"/>
      <c r="S64" s="39"/>
      <c r="T64" s="39"/>
    </row>
    <row r="65" spans="1:20" ht="1.5" customHeight="1" x14ac:dyDescent="0.35">
      <c r="A65" s="36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8"/>
      <c r="Q65" s="38"/>
      <c r="R65" s="38"/>
      <c r="S65" s="38"/>
      <c r="T65" s="38"/>
    </row>
    <row r="66" spans="1:20" ht="13.5" customHeight="1" x14ac:dyDescent="0.35"/>
    <row r="67" spans="1:20" ht="15" thickBot="1" x14ac:dyDescent="0.4">
      <c r="F67" s="45" t="s">
        <v>100</v>
      </c>
      <c r="G67" s="46"/>
      <c r="H67" s="46"/>
      <c r="I67" s="46"/>
      <c r="J67" s="46"/>
      <c r="K67" s="46"/>
      <c r="L67" s="46"/>
      <c r="M67" s="46"/>
      <c r="N67" s="46"/>
      <c r="O67" s="47"/>
      <c r="P67" s="48" t="str">
        <f>P63</f>
        <v>5.0</v>
      </c>
      <c r="Q67" s="48"/>
      <c r="R67" s="48"/>
      <c r="S67" s="48"/>
      <c r="T67" s="48"/>
    </row>
    <row r="68" spans="1:20" ht="15" thickTop="1" x14ac:dyDescent="0.35"/>
    <row r="69" spans="1:20" ht="15" thickBot="1" x14ac:dyDescent="0.4">
      <c r="A69" t="s">
        <v>103</v>
      </c>
    </row>
    <row r="70" spans="1:20" x14ac:dyDescent="0.35">
      <c r="A70" s="85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7"/>
    </row>
    <row r="71" spans="1:20" x14ac:dyDescent="0.35">
      <c r="A71" s="88"/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90"/>
    </row>
    <row r="72" spans="1:20" x14ac:dyDescent="0.35">
      <c r="A72" s="88"/>
      <c r="B72" s="89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90"/>
    </row>
    <row r="73" spans="1:20" x14ac:dyDescent="0.35">
      <c r="A73" s="88"/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90"/>
    </row>
    <row r="74" spans="1:20" x14ac:dyDescent="0.35">
      <c r="A74" s="88"/>
      <c r="B74" s="89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90"/>
    </row>
    <row r="75" spans="1:20" x14ac:dyDescent="0.35">
      <c r="A75" s="88"/>
      <c r="B75" s="89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90"/>
    </row>
    <row r="76" spans="1:20" x14ac:dyDescent="0.35">
      <c r="A76" s="88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90"/>
    </row>
    <row r="77" spans="1:20" ht="15" thickBot="1" x14ac:dyDescent="0.4">
      <c r="A77" s="91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3"/>
    </row>
    <row r="78" spans="1:20" x14ac:dyDescent="0.3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</row>
    <row r="79" spans="1:20" x14ac:dyDescent="0.3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</row>
    <row r="80" spans="1:20" x14ac:dyDescent="0.3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</row>
    <row r="81" spans="6:20" x14ac:dyDescent="0.35">
      <c r="F81" s="5"/>
      <c r="G81" s="5"/>
      <c r="H81" s="5"/>
      <c r="I81" s="5"/>
      <c r="J81" s="5"/>
      <c r="K81" s="5"/>
      <c r="L81" s="5"/>
      <c r="N81" s="5"/>
      <c r="O81" s="5"/>
      <c r="P81" s="5"/>
      <c r="Q81" s="5"/>
      <c r="R81" s="5"/>
      <c r="S81" s="5"/>
      <c r="T81" s="5"/>
    </row>
    <row r="82" spans="6:20" ht="6" customHeight="1" x14ac:dyDescent="0.35"/>
    <row r="83" spans="6:20" x14ac:dyDescent="0.35">
      <c r="F83" s="41" t="s">
        <v>101</v>
      </c>
      <c r="G83" s="41"/>
      <c r="H83" s="41"/>
      <c r="I83" s="41"/>
      <c r="J83" s="41"/>
      <c r="K83" s="41"/>
      <c r="L83" s="41"/>
      <c r="N83" s="41" t="s">
        <v>102</v>
      </c>
      <c r="O83" s="41"/>
      <c r="P83" s="41"/>
      <c r="Q83" s="41"/>
      <c r="R83" s="41"/>
      <c r="S83" s="41"/>
      <c r="T83" s="41"/>
    </row>
  </sheetData>
  <sheetProtection sheet="1" objects="1" scenarios="1"/>
  <mergeCells count="133">
    <mergeCell ref="F18:N18"/>
    <mergeCell ref="F19:N19"/>
    <mergeCell ref="B18:E18"/>
    <mergeCell ref="B19:E19"/>
    <mergeCell ref="A2:T2"/>
    <mergeCell ref="A6:C6"/>
    <mergeCell ref="A8:C8"/>
    <mergeCell ref="D6:G6"/>
    <mergeCell ref="D8:H8"/>
    <mergeCell ref="B14:E14"/>
    <mergeCell ref="B15:E15"/>
    <mergeCell ref="B16:E16"/>
    <mergeCell ref="B17:E17"/>
    <mergeCell ref="B13:E13"/>
    <mergeCell ref="F14:N14"/>
    <mergeCell ref="F15:N15"/>
    <mergeCell ref="F16:N16"/>
    <mergeCell ref="F17:N17"/>
    <mergeCell ref="D4:T4"/>
    <mergeCell ref="A12:T12"/>
    <mergeCell ref="F24:N24"/>
    <mergeCell ref="F25:N25"/>
    <mergeCell ref="B20:E20"/>
    <mergeCell ref="P37:T37"/>
    <mergeCell ref="P38:T38"/>
    <mergeCell ref="A40:B40"/>
    <mergeCell ref="C40:D40"/>
    <mergeCell ref="E40:F40"/>
    <mergeCell ref="G40:H40"/>
    <mergeCell ref="I40:J40"/>
    <mergeCell ref="K40:L40"/>
    <mergeCell ref="B23:D23"/>
    <mergeCell ref="B21:D21"/>
    <mergeCell ref="F34:O34"/>
    <mergeCell ref="F27:N27"/>
    <mergeCell ref="F28:N28"/>
    <mergeCell ref="F29:N29"/>
    <mergeCell ref="F30:N30"/>
    <mergeCell ref="F31:N31"/>
    <mergeCell ref="F32:N32"/>
    <mergeCell ref="F21:N21"/>
    <mergeCell ref="B22:D22"/>
    <mergeCell ref="F47:M47"/>
    <mergeCell ref="M40:N40"/>
    <mergeCell ref="O40:P40"/>
    <mergeCell ref="A43:T43"/>
    <mergeCell ref="B45:N45"/>
    <mergeCell ref="B46:N46"/>
    <mergeCell ref="B48:N48"/>
    <mergeCell ref="Q40:R40"/>
    <mergeCell ref="S40:T40"/>
    <mergeCell ref="A41:B41"/>
    <mergeCell ref="C41:D41"/>
    <mergeCell ref="E41:F41"/>
    <mergeCell ref="G41:H41"/>
    <mergeCell ref="I41:J41"/>
    <mergeCell ref="K41:L41"/>
    <mergeCell ref="M41:N41"/>
    <mergeCell ref="O41:P41"/>
    <mergeCell ref="Q41:R41"/>
    <mergeCell ref="S41:T41"/>
    <mergeCell ref="P62:T62"/>
    <mergeCell ref="P63:T63"/>
    <mergeCell ref="F62:O62"/>
    <mergeCell ref="F63:O63"/>
    <mergeCell ref="P60:T60"/>
    <mergeCell ref="F26:N26"/>
    <mergeCell ref="A56:T56"/>
    <mergeCell ref="P57:T57"/>
    <mergeCell ref="P58:T58"/>
    <mergeCell ref="P59:T59"/>
    <mergeCell ref="B53:E53"/>
    <mergeCell ref="F53:O53"/>
    <mergeCell ref="P53:T53"/>
    <mergeCell ref="B54:E54"/>
    <mergeCell ref="F54:O54"/>
    <mergeCell ref="P54:T54"/>
    <mergeCell ref="B52:E52"/>
    <mergeCell ref="F52:O52"/>
    <mergeCell ref="B50:E50"/>
    <mergeCell ref="F50:O50"/>
    <mergeCell ref="B51:E51"/>
    <mergeCell ref="F51:O51"/>
    <mergeCell ref="B49:O49"/>
    <mergeCell ref="B47:E47"/>
    <mergeCell ref="J8:L8"/>
    <mergeCell ref="J6:L6"/>
    <mergeCell ref="B37:E37"/>
    <mergeCell ref="B38:E38"/>
    <mergeCell ref="F37:O37"/>
    <mergeCell ref="F38:O38"/>
    <mergeCell ref="B34:E34"/>
    <mergeCell ref="B35:E35"/>
    <mergeCell ref="B36:E36"/>
    <mergeCell ref="F36:O36"/>
    <mergeCell ref="B33:E33"/>
    <mergeCell ref="F35:O35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F23:N23"/>
    <mergeCell ref="M6:T6"/>
    <mergeCell ref="M8:T8"/>
    <mergeCell ref="A70:T77"/>
    <mergeCell ref="F83:L83"/>
    <mergeCell ref="D10:G10"/>
    <mergeCell ref="F13:N13"/>
    <mergeCell ref="F33:T33"/>
    <mergeCell ref="F20:T20"/>
    <mergeCell ref="F67:O67"/>
    <mergeCell ref="P67:T67"/>
    <mergeCell ref="F22:N22"/>
    <mergeCell ref="B61:E61"/>
    <mergeCell ref="B62:E62"/>
    <mergeCell ref="B63:E63"/>
    <mergeCell ref="F57:N57"/>
    <mergeCell ref="F58:N58"/>
    <mergeCell ref="F59:N59"/>
    <mergeCell ref="F60:N60"/>
    <mergeCell ref="F61:N61"/>
    <mergeCell ref="B57:E57"/>
    <mergeCell ref="B58:E58"/>
    <mergeCell ref="B59:E59"/>
    <mergeCell ref="B60:E60"/>
    <mergeCell ref="N83:T83"/>
    <mergeCell ref="Q10:T10"/>
    <mergeCell ref="I10:L10"/>
  </mergeCells>
  <conditionalFormatting sqref="P14:T19 P23:T32 P21:T21">
    <cfRule type="cellIs" dxfId="13" priority="27" operator="greaterThan">
      <formula>1</formula>
    </cfRule>
    <cfRule type="cellIs" dxfId="12" priority="32" operator="equal">
      <formula>1</formula>
    </cfRule>
    <cfRule type="expression" dxfId="11" priority="33">
      <formula>ISBLANK(P14)</formula>
    </cfRule>
  </conditionalFormatting>
  <conditionalFormatting sqref="P48:T48">
    <cfRule type="cellIs" dxfId="10" priority="13" operator="greaterThan">
      <formula>1</formula>
    </cfRule>
    <cfRule type="cellIs" dxfId="9" priority="18" operator="equal">
      <formula>1</formula>
    </cfRule>
    <cfRule type="expression" dxfId="8" priority="19">
      <formula>ISBLANK(P48)</formula>
    </cfRule>
  </conditionalFormatting>
  <conditionalFormatting sqref="P45:T46">
    <cfRule type="cellIs" dxfId="7" priority="24" operator="greaterThan">
      <formula>1</formula>
    </cfRule>
    <cfRule type="cellIs" dxfId="6" priority="25" operator="equal">
      <formula>1</formula>
    </cfRule>
    <cfRule type="expression" dxfId="5" priority="26">
      <formula>ISBLANK(P45)</formula>
    </cfRule>
  </conditionalFormatting>
  <conditionalFormatting sqref="V25">
    <cfRule type="cellIs" dxfId="4" priority="6" operator="notEqual">
      <formula>$V$23</formula>
    </cfRule>
  </conditionalFormatting>
  <conditionalFormatting sqref="P22:T22">
    <cfRule type="cellIs" dxfId="3" priority="3" operator="greaterThan">
      <formula>1</formula>
    </cfRule>
    <cfRule type="cellIs" dxfId="2" priority="4" operator="equal">
      <formula>1</formula>
    </cfRule>
    <cfRule type="expression" dxfId="1" priority="5">
      <formula>ISBLANK(P22)</formula>
    </cfRule>
  </conditionalFormatting>
  <conditionalFormatting sqref="O23:O32">
    <cfRule type="cellIs" dxfId="0" priority="1" operator="notEqual">
      <formula>$U23</formula>
    </cfRule>
  </conditionalFormatting>
  <dataValidations disablePrompts="1" count="1">
    <dataValidation type="list" showInputMessage="1" showErrorMessage="1" sqref="D6:D7" xr:uid="{00000000-0002-0000-0000-000000000000}">
      <formula1>Work_Types</formula1>
    </dataValidation>
  </dataValidations>
  <pageMargins left="0.70866141732283472" right="0.23622047244094491" top="0.78740157480314965" bottom="0.78740157480314965" header="0.31496062992125984" footer="0.31496062992125984"/>
  <pageSetup paperSize="9" orientation="portrait" horizontalDpi="4294967295" verticalDpi="4294967295" r:id="rId1"/>
  <headerFooter>
    <oddFooter>&amp;LVersion: 2020-10-27&amp;R&amp;D</oddFooter>
  </headerFooter>
  <rowBreaks count="1" manualBreakCount="1">
    <brk id="42" max="1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02"/>
  <sheetViews>
    <sheetView topLeftCell="A34" workbookViewId="0">
      <selection activeCell="A5" sqref="A5"/>
    </sheetView>
  </sheetViews>
  <sheetFormatPr baseColWidth="10" defaultRowHeight="14.5" x14ac:dyDescent="0.35"/>
  <sheetData>
    <row r="1" spans="1:4" x14ac:dyDescent="0.35">
      <c r="A1" t="s">
        <v>2</v>
      </c>
      <c r="C1" t="s">
        <v>47</v>
      </c>
    </row>
    <row r="2" spans="1:4" x14ac:dyDescent="0.35">
      <c r="A2" t="s">
        <v>4</v>
      </c>
      <c r="C2">
        <v>100</v>
      </c>
      <c r="D2" s="1" t="s">
        <v>37</v>
      </c>
    </row>
    <row r="3" spans="1:4" x14ac:dyDescent="0.35">
      <c r="A3" t="s">
        <v>3</v>
      </c>
      <c r="C3">
        <v>99</v>
      </c>
      <c r="D3" s="1" t="s">
        <v>37</v>
      </c>
    </row>
    <row r="4" spans="1:4" x14ac:dyDescent="0.35">
      <c r="A4" t="s">
        <v>5</v>
      </c>
      <c r="C4">
        <v>98</v>
      </c>
      <c r="D4" s="1" t="s">
        <v>37</v>
      </c>
    </row>
    <row r="5" spans="1:4" x14ac:dyDescent="0.35">
      <c r="C5">
        <v>97</v>
      </c>
      <c r="D5" s="1" t="s">
        <v>37</v>
      </c>
    </row>
    <row r="6" spans="1:4" x14ac:dyDescent="0.35">
      <c r="C6">
        <v>96</v>
      </c>
      <c r="D6" s="1" t="s">
        <v>37</v>
      </c>
    </row>
    <row r="7" spans="1:4" x14ac:dyDescent="0.35">
      <c r="C7">
        <v>95</v>
      </c>
      <c r="D7" s="1" t="s">
        <v>37</v>
      </c>
    </row>
    <row r="8" spans="1:4" x14ac:dyDescent="0.35">
      <c r="C8">
        <v>94</v>
      </c>
      <c r="D8" s="1" t="s">
        <v>37</v>
      </c>
    </row>
    <row r="9" spans="1:4" x14ac:dyDescent="0.35">
      <c r="C9">
        <v>93</v>
      </c>
      <c r="D9" s="1" t="s">
        <v>37</v>
      </c>
    </row>
    <row r="10" spans="1:4" x14ac:dyDescent="0.35">
      <c r="C10">
        <v>92</v>
      </c>
      <c r="D10" s="1" t="s">
        <v>37</v>
      </c>
    </row>
    <row r="11" spans="1:4" x14ac:dyDescent="0.35">
      <c r="C11">
        <v>91</v>
      </c>
      <c r="D11" s="1" t="s">
        <v>37</v>
      </c>
    </row>
    <row r="12" spans="1:4" x14ac:dyDescent="0.35">
      <c r="C12">
        <v>90</v>
      </c>
      <c r="D12" s="1" t="s">
        <v>38</v>
      </c>
    </row>
    <row r="13" spans="1:4" x14ac:dyDescent="0.35">
      <c r="C13">
        <v>89</v>
      </c>
      <c r="D13" s="1" t="s">
        <v>38</v>
      </c>
    </row>
    <row r="14" spans="1:4" x14ac:dyDescent="0.35">
      <c r="C14">
        <v>88</v>
      </c>
      <c r="D14" s="1" t="s">
        <v>38</v>
      </c>
    </row>
    <row r="15" spans="1:4" x14ac:dyDescent="0.35">
      <c r="C15">
        <v>87</v>
      </c>
      <c r="D15" s="1" t="s">
        <v>38</v>
      </c>
    </row>
    <row r="16" spans="1:4" x14ac:dyDescent="0.35">
      <c r="C16">
        <v>86</v>
      </c>
      <c r="D16" s="1" t="s">
        <v>38</v>
      </c>
    </row>
    <row r="17" spans="3:4" x14ac:dyDescent="0.35">
      <c r="C17">
        <v>85</v>
      </c>
      <c r="D17" s="1" t="s">
        <v>39</v>
      </c>
    </row>
    <row r="18" spans="3:4" x14ac:dyDescent="0.35">
      <c r="C18">
        <v>84</v>
      </c>
      <c r="D18" s="1" t="s">
        <v>39</v>
      </c>
    </row>
    <row r="19" spans="3:4" x14ac:dyDescent="0.35">
      <c r="C19">
        <v>83</v>
      </c>
      <c r="D19" s="1" t="s">
        <v>39</v>
      </c>
    </row>
    <row r="20" spans="3:4" x14ac:dyDescent="0.35">
      <c r="C20">
        <v>82</v>
      </c>
      <c r="D20" s="1" t="s">
        <v>39</v>
      </c>
    </row>
    <row r="21" spans="3:4" x14ac:dyDescent="0.35">
      <c r="C21">
        <v>81</v>
      </c>
      <c r="D21" s="1" t="s">
        <v>39</v>
      </c>
    </row>
    <row r="22" spans="3:4" x14ac:dyDescent="0.35">
      <c r="C22">
        <v>80</v>
      </c>
      <c r="D22" s="1" t="s">
        <v>39</v>
      </c>
    </row>
    <row r="23" spans="3:4" x14ac:dyDescent="0.35">
      <c r="C23">
        <v>79</v>
      </c>
      <c r="D23" s="1" t="s">
        <v>39</v>
      </c>
    </row>
    <row r="24" spans="3:4" x14ac:dyDescent="0.35">
      <c r="C24">
        <v>78</v>
      </c>
      <c r="D24" s="1" t="s">
        <v>40</v>
      </c>
    </row>
    <row r="25" spans="3:4" x14ac:dyDescent="0.35">
      <c r="C25">
        <v>77</v>
      </c>
      <c r="D25" s="1" t="s">
        <v>40</v>
      </c>
    </row>
    <row r="26" spans="3:4" x14ac:dyDescent="0.35">
      <c r="C26">
        <v>76</v>
      </c>
      <c r="D26" s="1" t="s">
        <v>40</v>
      </c>
    </row>
    <row r="27" spans="3:4" x14ac:dyDescent="0.35">
      <c r="C27">
        <v>75</v>
      </c>
      <c r="D27" s="1" t="s">
        <v>40</v>
      </c>
    </row>
    <row r="28" spans="3:4" x14ac:dyDescent="0.35">
      <c r="C28">
        <v>74</v>
      </c>
      <c r="D28" s="1" t="s">
        <v>40</v>
      </c>
    </row>
    <row r="29" spans="3:4" x14ac:dyDescent="0.35">
      <c r="C29">
        <v>73</v>
      </c>
      <c r="D29" s="1" t="s">
        <v>41</v>
      </c>
    </row>
    <row r="30" spans="3:4" x14ac:dyDescent="0.35">
      <c r="C30">
        <v>72</v>
      </c>
      <c r="D30" s="1" t="s">
        <v>41</v>
      </c>
    </row>
    <row r="31" spans="3:4" x14ac:dyDescent="0.35">
      <c r="C31">
        <v>71</v>
      </c>
      <c r="D31" s="1" t="s">
        <v>41</v>
      </c>
    </row>
    <row r="32" spans="3:4" x14ac:dyDescent="0.35">
      <c r="C32">
        <v>70</v>
      </c>
      <c r="D32" s="1" t="s">
        <v>41</v>
      </c>
    </row>
    <row r="33" spans="3:4" x14ac:dyDescent="0.35">
      <c r="C33">
        <v>69</v>
      </c>
      <c r="D33" s="1" t="s">
        <v>41</v>
      </c>
    </row>
    <row r="34" spans="3:4" x14ac:dyDescent="0.35">
      <c r="C34">
        <v>68</v>
      </c>
      <c r="D34" s="1" t="s">
        <v>42</v>
      </c>
    </row>
    <row r="35" spans="3:4" x14ac:dyDescent="0.35">
      <c r="C35">
        <v>67</v>
      </c>
      <c r="D35" s="1" t="s">
        <v>42</v>
      </c>
    </row>
    <row r="36" spans="3:4" x14ac:dyDescent="0.35">
      <c r="C36">
        <v>66</v>
      </c>
      <c r="D36" s="1" t="s">
        <v>42</v>
      </c>
    </row>
    <row r="37" spans="3:4" x14ac:dyDescent="0.35">
      <c r="C37">
        <v>65</v>
      </c>
      <c r="D37" s="1" t="s">
        <v>42</v>
      </c>
    </row>
    <row r="38" spans="3:4" x14ac:dyDescent="0.35">
      <c r="C38">
        <v>64</v>
      </c>
      <c r="D38" s="1" t="s">
        <v>42</v>
      </c>
    </row>
    <row r="39" spans="3:4" x14ac:dyDescent="0.35">
      <c r="C39">
        <v>63</v>
      </c>
      <c r="D39" s="1" t="s">
        <v>42</v>
      </c>
    </row>
    <row r="40" spans="3:4" x14ac:dyDescent="0.35">
      <c r="C40">
        <v>62</v>
      </c>
      <c r="D40" s="1" t="s">
        <v>42</v>
      </c>
    </row>
    <row r="41" spans="3:4" x14ac:dyDescent="0.35">
      <c r="C41">
        <v>61</v>
      </c>
      <c r="D41" s="1" t="s">
        <v>43</v>
      </c>
    </row>
    <row r="42" spans="3:4" x14ac:dyDescent="0.35">
      <c r="C42">
        <v>60</v>
      </c>
      <c r="D42" s="1" t="s">
        <v>43</v>
      </c>
    </row>
    <row r="43" spans="3:4" x14ac:dyDescent="0.35">
      <c r="C43">
        <v>59</v>
      </c>
      <c r="D43" s="1" t="s">
        <v>43</v>
      </c>
    </row>
    <row r="44" spans="3:4" x14ac:dyDescent="0.35">
      <c r="C44">
        <v>58</v>
      </c>
      <c r="D44" s="1" t="s">
        <v>43</v>
      </c>
    </row>
    <row r="45" spans="3:4" x14ac:dyDescent="0.35">
      <c r="C45">
        <v>57</v>
      </c>
      <c r="D45" s="1" t="s">
        <v>43</v>
      </c>
    </row>
    <row r="46" spans="3:4" x14ac:dyDescent="0.35">
      <c r="C46">
        <v>56</v>
      </c>
      <c r="D46" s="1" t="s">
        <v>44</v>
      </c>
    </row>
    <row r="47" spans="3:4" x14ac:dyDescent="0.35">
      <c r="C47">
        <v>55</v>
      </c>
      <c r="D47" s="1" t="s">
        <v>44</v>
      </c>
    </row>
    <row r="48" spans="3:4" x14ac:dyDescent="0.35">
      <c r="C48">
        <v>54</v>
      </c>
      <c r="D48" s="1" t="s">
        <v>44</v>
      </c>
    </row>
    <row r="49" spans="3:4" x14ac:dyDescent="0.35">
      <c r="C49">
        <v>53</v>
      </c>
      <c r="D49" s="1" t="s">
        <v>44</v>
      </c>
    </row>
    <row r="50" spans="3:4" x14ac:dyDescent="0.35">
      <c r="C50">
        <v>52</v>
      </c>
      <c r="D50" s="1" t="s">
        <v>44</v>
      </c>
    </row>
    <row r="51" spans="3:4" x14ac:dyDescent="0.35">
      <c r="C51">
        <v>51</v>
      </c>
      <c r="D51" s="1" t="s">
        <v>45</v>
      </c>
    </row>
    <row r="52" spans="3:4" x14ac:dyDescent="0.35">
      <c r="C52">
        <v>50</v>
      </c>
      <c r="D52" s="1" t="s">
        <v>45</v>
      </c>
    </row>
    <row r="53" spans="3:4" x14ac:dyDescent="0.35">
      <c r="C53">
        <v>49</v>
      </c>
      <c r="D53" s="1" t="s">
        <v>45</v>
      </c>
    </row>
    <row r="54" spans="3:4" x14ac:dyDescent="0.35">
      <c r="C54">
        <v>48</v>
      </c>
      <c r="D54" s="1" t="s">
        <v>45</v>
      </c>
    </row>
    <row r="55" spans="3:4" x14ac:dyDescent="0.35">
      <c r="C55">
        <v>47</v>
      </c>
      <c r="D55" s="1" t="s">
        <v>45</v>
      </c>
    </row>
    <row r="56" spans="3:4" x14ac:dyDescent="0.35">
      <c r="C56">
        <v>46</v>
      </c>
      <c r="D56" s="1" t="s">
        <v>45</v>
      </c>
    </row>
    <row r="57" spans="3:4" x14ac:dyDescent="0.35">
      <c r="C57">
        <v>45</v>
      </c>
      <c r="D57" s="1" t="s">
        <v>45</v>
      </c>
    </row>
    <row r="58" spans="3:4" x14ac:dyDescent="0.35">
      <c r="C58">
        <v>44</v>
      </c>
      <c r="D58" s="1" t="s">
        <v>46</v>
      </c>
    </row>
    <row r="59" spans="3:4" x14ac:dyDescent="0.35">
      <c r="C59">
        <v>43</v>
      </c>
      <c r="D59" s="1" t="s">
        <v>46</v>
      </c>
    </row>
    <row r="60" spans="3:4" x14ac:dyDescent="0.35">
      <c r="C60">
        <v>42</v>
      </c>
      <c r="D60" s="1" t="s">
        <v>46</v>
      </c>
    </row>
    <row r="61" spans="3:4" x14ac:dyDescent="0.35">
      <c r="C61">
        <v>41</v>
      </c>
      <c r="D61" s="1" t="s">
        <v>46</v>
      </c>
    </row>
    <row r="62" spans="3:4" x14ac:dyDescent="0.35">
      <c r="C62">
        <v>40</v>
      </c>
      <c r="D62" s="1" t="s">
        <v>46</v>
      </c>
    </row>
    <row r="63" spans="3:4" x14ac:dyDescent="0.35">
      <c r="C63">
        <v>39</v>
      </c>
      <c r="D63" t="s">
        <v>48</v>
      </c>
    </row>
    <row r="64" spans="3:4" x14ac:dyDescent="0.35">
      <c r="C64">
        <v>38</v>
      </c>
      <c r="D64" s="1" t="s">
        <v>48</v>
      </c>
    </row>
    <row r="65" spans="3:4" x14ac:dyDescent="0.35">
      <c r="C65">
        <v>37</v>
      </c>
      <c r="D65" t="s">
        <v>48</v>
      </c>
    </row>
    <row r="66" spans="3:4" x14ac:dyDescent="0.35">
      <c r="C66">
        <v>36</v>
      </c>
      <c r="D66" s="1" t="s">
        <v>48</v>
      </c>
    </row>
    <row r="67" spans="3:4" x14ac:dyDescent="0.35">
      <c r="C67">
        <v>35</v>
      </c>
      <c r="D67" t="s">
        <v>48</v>
      </c>
    </row>
    <row r="68" spans="3:4" x14ac:dyDescent="0.35">
      <c r="C68">
        <v>34</v>
      </c>
      <c r="D68" s="1" t="s">
        <v>48</v>
      </c>
    </row>
    <row r="69" spans="3:4" x14ac:dyDescent="0.35">
      <c r="C69">
        <v>33</v>
      </c>
      <c r="D69" t="s">
        <v>48</v>
      </c>
    </row>
    <row r="70" spans="3:4" x14ac:dyDescent="0.35">
      <c r="C70">
        <v>32</v>
      </c>
      <c r="D70" s="1" t="s">
        <v>48</v>
      </c>
    </row>
    <row r="71" spans="3:4" x14ac:dyDescent="0.35">
      <c r="C71">
        <v>31</v>
      </c>
      <c r="D71" t="s">
        <v>48</v>
      </c>
    </row>
    <row r="72" spans="3:4" x14ac:dyDescent="0.35">
      <c r="C72">
        <v>30</v>
      </c>
      <c r="D72" s="1" t="s">
        <v>48</v>
      </c>
    </row>
    <row r="73" spans="3:4" x14ac:dyDescent="0.35">
      <c r="C73">
        <v>29</v>
      </c>
      <c r="D73" t="s">
        <v>48</v>
      </c>
    </row>
    <row r="74" spans="3:4" x14ac:dyDescent="0.35">
      <c r="C74">
        <v>28</v>
      </c>
      <c r="D74" s="1" t="s">
        <v>48</v>
      </c>
    </row>
    <row r="75" spans="3:4" x14ac:dyDescent="0.35">
      <c r="C75">
        <v>27</v>
      </c>
      <c r="D75" t="s">
        <v>48</v>
      </c>
    </row>
    <row r="76" spans="3:4" x14ac:dyDescent="0.35">
      <c r="C76">
        <v>26</v>
      </c>
      <c r="D76" s="1" t="s">
        <v>48</v>
      </c>
    </row>
    <row r="77" spans="3:4" x14ac:dyDescent="0.35">
      <c r="C77">
        <v>25</v>
      </c>
      <c r="D77" t="s">
        <v>48</v>
      </c>
    </row>
    <row r="78" spans="3:4" x14ac:dyDescent="0.35">
      <c r="C78">
        <v>24</v>
      </c>
      <c r="D78" s="1" t="s">
        <v>48</v>
      </c>
    </row>
    <row r="79" spans="3:4" x14ac:dyDescent="0.35">
      <c r="C79">
        <v>23</v>
      </c>
      <c r="D79" t="s">
        <v>48</v>
      </c>
    </row>
    <row r="80" spans="3:4" x14ac:dyDescent="0.35">
      <c r="C80">
        <v>22</v>
      </c>
      <c r="D80" s="1" t="s">
        <v>48</v>
      </c>
    </row>
    <row r="81" spans="3:4" x14ac:dyDescent="0.35">
      <c r="C81">
        <v>21</v>
      </c>
      <c r="D81" t="s">
        <v>48</v>
      </c>
    </row>
    <row r="82" spans="3:4" x14ac:dyDescent="0.35">
      <c r="C82">
        <v>20</v>
      </c>
      <c r="D82" s="1" t="s">
        <v>48</v>
      </c>
    </row>
    <row r="83" spans="3:4" x14ac:dyDescent="0.35">
      <c r="C83">
        <v>19</v>
      </c>
      <c r="D83" t="s">
        <v>48</v>
      </c>
    </row>
    <row r="84" spans="3:4" x14ac:dyDescent="0.35">
      <c r="C84">
        <v>18</v>
      </c>
      <c r="D84" s="1" t="s">
        <v>48</v>
      </c>
    </row>
    <row r="85" spans="3:4" x14ac:dyDescent="0.35">
      <c r="C85">
        <v>17</v>
      </c>
      <c r="D85" t="s">
        <v>48</v>
      </c>
    </row>
    <row r="86" spans="3:4" x14ac:dyDescent="0.35">
      <c r="C86">
        <v>16</v>
      </c>
      <c r="D86" s="1" t="s">
        <v>48</v>
      </c>
    </row>
    <row r="87" spans="3:4" x14ac:dyDescent="0.35">
      <c r="C87">
        <v>15</v>
      </c>
      <c r="D87" t="s">
        <v>48</v>
      </c>
    </row>
    <row r="88" spans="3:4" x14ac:dyDescent="0.35">
      <c r="C88">
        <v>14</v>
      </c>
      <c r="D88" s="1" t="s">
        <v>48</v>
      </c>
    </row>
    <row r="89" spans="3:4" x14ac:dyDescent="0.35">
      <c r="C89">
        <v>13</v>
      </c>
      <c r="D89" t="s">
        <v>48</v>
      </c>
    </row>
    <row r="90" spans="3:4" x14ac:dyDescent="0.35">
      <c r="C90">
        <v>12</v>
      </c>
      <c r="D90" s="1" t="s">
        <v>48</v>
      </c>
    </row>
    <row r="91" spans="3:4" x14ac:dyDescent="0.35">
      <c r="C91">
        <v>11</v>
      </c>
      <c r="D91" t="s">
        <v>48</v>
      </c>
    </row>
    <row r="92" spans="3:4" x14ac:dyDescent="0.35">
      <c r="C92">
        <v>10</v>
      </c>
      <c r="D92" s="1" t="s">
        <v>48</v>
      </c>
    </row>
    <row r="93" spans="3:4" x14ac:dyDescent="0.35">
      <c r="C93">
        <v>9</v>
      </c>
      <c r="D93" t="s">
        <v>48</v>
      </c>
    </row>
    <row r="94" spans="3:4" x14ac:dyDescent="0.35">
      <c r="C94">
        <v>8</v>
      </c>
      <c r="D94" s="1" t="s">
        <v>48</v>
      </c>
    </row>
    <row r="95" spans="3:4" x14ac:dyDescent="0.35">
      <c r="C95">
        <v>7</v>
      </c>
      <c r="D95" t="s">
        <v>48</v>
      </c>
    </row>
    <row r="96" spans="3:4" x14ac:dyDescent="0.35">
      <c r="C96">
        <v>6</v>
      </c>
      <c r="D96" s="1" t="s">
        <v>48</v>
      </c>
    </row>
    <row r="97" spans="3:4" x14ac:dyDescent="0.35">
      <c r="C97">
        <v>5</v>
      </c>
      <c r="D97" t="s">
        <v>48</v>
      </c>
    </row>
    <row r="98" spans="3:4" x14ac:dyDescent="0.35">
      <c r="C98">
        <v>4</v>
      </c>
      <c r="D98" s="1" t="s">
        <v>48</v>
      </c>
    </row>
    <row r="99" spans="3:4" x14ac:dyDescent="0.35">
      <c r="C99">
        <v>3</v>
      </c>
      <c r="D99" t="s">
        <v>48</v>
      </c>
    </row>
    <row r="100" spans="3:4" x14ac:dyDescent="0.35">
      <c r="C100">
        <v>2</v>
      </c>
      <c r="D100" s="1" t="s">
        <v>48</v>
      </c>
    </row>
    <row r="101" spans="3:4" x14ac:dyDescent="0.35">
      <c r="C101">
        <v>1</v>
      </c>
      <c r="D101" t="s">
        <v>48</v>
      </c>
    </row>
    <row r="102" spans="3:4" x14ac:dyDescent="0.35">
      <c r="C102">
        <v>0</v>
      </c>
      <c r="D102" s="1" t="s">
        <v>48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Marking Sheet</vt:lpstr>
      <vt:lpstr>Additional Data</vt:lpstr>
      <vt:lpstr>'Marking Sheet'!Druckbereich</vt:lpstr>
      <vt:lpstr>Work_Types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Göttsch</dc:creator>
  <cp:lastModifiedBy>Patrick Göttsch</cp:lastModifiedBy>
  <cp:lastPrinted>2020-10-27T07:48:44Z</cp:lastPrinted>
  <dcterms:created xsi:type="dcterms:W3CDTF">2015-04-07T08:20:36Z</dcterms:created>
  <dcterms:modified xsi:type="dcterms:W3CDTF">2020-10-27T07:48:50Z</dcterms:modified>
</cp:coreProperties>
</file>